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\DVIEW (20181002)\doc_Nuvoton(NUC029xAN)\NUC029xAN_BSPv3.00.003\SampleCode\Code\P_Wistec_HairBrush_V10\spec\"/>
    </mc:Choice>
  </mc:AlternateContent>
  <xr:revisionPtr revIDLastSave="0" documentId="8_{75C36496-919C-4253-9045-4E2E6134BE34}" xr6:coauthVersionLast="47" xr6:coauthVersionMax="47" xr10:uidLastSave="{00000000-0000-0000-0000-000000000000}"/>
  <bookViews>
    <workbookView xWindow="22960" yWindow="1440" windowWidth="23020" windowHeight="17070" tabRatio="500" activeTab="1" xr2:uid="{00000000-000D-0000-FFFF-FFFF00000000}"/>
  </bookViews>
  <sheets>
    <sheet name="요약" sheetId="1" r:id="rId1"/>
    <sheet name="회로" sheetId="3" r:id="rId2"/>
    <sheet name="R3 소비전력 비교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2" l="1"/>
  <c r="F16" i="2" s="1"/>
  <c r="E15" i="2"/>
  <c r="E16" i="2" s="1"/>
  <c r="D15" i="2"/>
  <c r="D16" i="2" s="1"/>
  <c r="C15" i="2"/>
  <c r="C16" i="2" s="1"/>
  <c r="E14" i="2"/>
  <c r="F13" i="2"/>
  <c r="F14" i="2" s="1"/>
  <c r="E13" i="2"/>
  <c r="D13" i="2"/>
  <c r="D14" i="2" s="1"/>
  <c r="C13" i="2"/>
  <c r="C14" i="2" s="1"/>
</calcChain>
</file>

<file path=xl/sharedStrings.xml><?xml version="1.0" encoding="utf-8"?>
<sst xmlns="http://schemas.openxmlformats.org/spreadsheetml/2006/main" count="59" uniqueCount="57">
  <si>
    <r>
      <rPr>
        <b/>
        <sz val="14"/>
        <rFont val="Arial"/>
        <family val="2"/>
      </rPr>
      <t xml:space="preserve">HAIR-BRUSH Low Battery </t>
    </r>
    <r>
      <rPr>
        <b/>
        <sz val="14"/>
        <rFont val="Noto Sans CJK SC"/>
        <family val="2"/>
      </rPr>
      <t>오탐 디버깅 리포트</t>
    </r>
  </si>
  <si>
    <r>
      <rPr>
        <i/>
        <sz val="9"/>
        <color rgb="FF666666"/>
        <rFont val="Noto Sans CJK SC"/>
        <family val="2"/>
      </rPr>
      <t>작성일</t>
    </r>
    <r>
      <rPr>
        <i/>
        <sz val="9"/>
        <color rgb="FF666666"/>
        <rFont val="Arial"/>
        <family val="2"/>
      </rPr>
      <t xml:space="preserve">: 2026-09-03   |   </t>
    </r>
    <r>
      <rPr>
        <i/>
        <sz val="9"/>
        <color rgb="FF666666"/>
        <rFont val="Noto Sans CJK SC"/>
        <family val="2"/>
      </rPr>
      <t xml:space="preserve">대상 </t>
    </r>
    <r>
      <rPr>
        <i/>
        <sz val="9"/>
        <color rgb="FF666666"/>
        <rFont val="Arial"/>
        <family val="2"/>
      </rPr>
      <t>MCU: Nuvoton NUC029   |   PCB: 6870DM260101A</t>
    </r>
  </si>
  <si>
    <r>
      <rPr>
        <b/>
        <sz val="11"/>
        <color rgb="FF1F4E78"/>
        <rFont val="Arial"/>
        <family val="2"/>
      </rPr>
      <t xml:space="preserve">1. </t>
    </r>
    <r>
      <rPr>
        <b/>
        <sz val="11"/>
        <color rgb="FF1F4E78"/>
        <rFont val="Noto Sans CJK SC"/>
        <family val="2"/>
      </rPr>
      <t>문제 요약</t>
    </r>
  </si>
  <si>
    <r>
      <rPr>
        <sz val="11"/>
        <color theme="1"/>
        <rFont val="Calibri"/>
        <family val="2"/>
        <charset val="1"/>
      </rPr>
      <t xml:space="preserve">ADC_IN </t>
    </r>
    <r>
      <rPr>
        <sz val="11"/>
        <color theme="1"/>
        <rFont val="Noto Sans CJK SC"/>
        <family val="2"/>
      </rPr>
      <t>채널</t>
    </r>
    <r>
      <rPr>
        <sz val="11"/>
        <color theme="1"/>
        <rFont val="Calibri"/>
        <family val="2"/>
        <charset val="1"/>
      </rPr>
      <t>(P1.3/AIN3)</t>
    </r>
    <r>
      <rPr>
        <sz val="11"/>
        <color theme="1"/>
        <rFont val="Noto Sans CJK SC"/>
        <family val="2"/>
      </rPr>
      <t>로 배터리 전압</t>
    </r>
    <r>
      <rPr>
        <sz val="11"/>
        <color theme="1"/>
        <rFont val="Calibri"/>
        <family val="2"/>
        <charset val="1"/>
      </rPr>
      <t>(P81)</t>
    </r>
    <r>
      <rPr>
        <sz val="11"/>
        <color theme="1"/>
        <rFont val="Noto Sans CJK SC"/>
        <family val="2"/>
      </rPr>
      <t>을 모니터링하는 로직에서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실제 배터리 전압과 무관하게 </t>
    </r>
    <r>
      <rPr>
        <sz val="11"/>
        <color theme="1"/>
        <rFont val="Calibri"/>
        <family val="2"/>
        <charset val="1"/>
      </rPr>
      <t>Low Battery</t>
    </r>
    <r>
      <rPr>
        <sz val="11"/>
        <color theme="1"/>
        <rFont val="Noto Sans CJK SC"/>
        <family val="2"/>
      </rPr>
      <t>가 오탐되어 제품이 조기 종료되는 문제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하드웨어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소프트웨어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테스트 환경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건의 독립 이슈가 순차적으로 발견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해결되었고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최종적으로 </t>
    </r>
    <r>
      <rPr>
        <sz val="11"/>
        <color theme="1"/>
        <rFont val="Calibri"/>
        <family val="2"/>
        <charset val="1"/>
      </rPr>
      <t>R3(470k</t>
    </r>
    <r>
      <rPr>
        <sz val="11"/>
        <color theme="1"/>
        <rFont val="Noto Sans CJK SC"/>
        <family val="2"/>
      </rPr>
      <t>옴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>설계 마진 부족이 근본 원인으로 확정됨</t>
    </r>
    <r>
      <rPr>
        <sz val="11"/>
        <color theme="1"/>
        <rFont val="Calibri"/>
        <family val="2"/>
        <charset val="1"/>
      </rPr>
      <t>.</t>
    </r>
  </si>
  <si>
    <r>
      <rPr>
        <b/>
        <sz val="11"/>
        <color rgb="FF1F4E78"/>
        <rFont val="Arial"/>
        <family val="2"/>
      </rPr>
      <t xml:space="preserve">2. </t>
    </r>
    <r>
      <rPr>
        <b/>
        <sz val="11"/>
        <color rgb="FF1F4E78"/>
        <rFont val="Noto Sans CJK SC"/>
        <family val="2"/>
      </rPr>
      <t>원인 분석 및 조치 이력</t>
    </r>
  </si>
  <si>
    <t>#</t>
  </si>
  <si>
    <t>발견 현상</t>
  </si>
  <si>
    <t>원인</t>
  </si>
  <si>
    <t>조치 상태</t>
  </si>
  <si>
    <r>
      <rPr>
        <sz val="11"/>
        <color rgb="FF000000"/>
        <rFont val="Arial"/>
        <family val="2"/>
      </rPr>
      <t>VCC=0V</t>
    </r>
    <r>
      <rPr>
        <sz val="11"/>
        <color rgb="FF000000"/>
        <rFont val="Noto Sans CJK SC"/>
        <family val="2"/>
      </rPr>
      <t xml:space="preserve">인데 </t>
    </r>
    <r>
      <rPr>
        <sz val="11"/>
        <color rgb="FF000000"/>
        <rFont val="Arial"/>
        <family val="2"/>
      </rPr>
      <t xml:space="preserve">ADC_IN </t>
    </r>
    <r>
      <rPr>
        <sz val="11"/>
        <color rgb="FF000000"/>
        <rFont val="Noto Sans CJK SC"/>
        <family val="2"/>
      </rPr>
      <t xml:space="preserve">핀 전압이 </t>
    </r>
    <r>
      <rPr>
        <sz val="11"/>
        <color rgb="FF000000"/>
        <rFont val="Arial"/>
        <family val="2"/>
      </rPr>
      <t>3.5V</t>
    </r>
    <r>
      <rPr>
        <sz val="11"/>
        <color rgb="FF000000"/>
        <rFont val="Noto Sans CJK SC"/>
        <family val="2"/>
      </rPr>
      <t>로 측정</t>
    </r>
  </si>
  <si>
    <r>
      <rPr>
        <sz val="11"/>
        <color rgb="FF000000"/>
        <rFont val="Arial"/>
        <family val="2"/>
      </rPr>
      <t>R3(470k</t>
    </r>
    <r>
      <rPr>
        <sz val="11"/>
        <color rgb="FF000000"/>
        <rFont val="Noto Sans CJK SC"/>
        <family val="2"/>
      </rPr>
      <t>옴</t>
    </r>
    <r>
      <rPr>
        <sz val="11"/>
        <color rgb="FF000000"/>
        <rFont val="Arial"/>
        <family val="2"/>
      </rPr>
      <t>)</t>
    </r>
    <r>
      <rPr>
        <sz val="11"/>
        <color rgb="FF000000"/>
        <rFont val="Noto Sans CJK SC"/>
        <family val="2"/>
      </rPr>
      <t>를 통한 배터리 백파워링</t>
    </r>
    <r>
      <rPr>
        <sz val="11"/>
        <color rgb="FF000000"/>
        <rFont val="Arial"/>
        <family val="2"/>
      </rPr>
      <t xml:space="preserve">(ESD </t>
    </r>
    <r>
      <rPr>
        <sz val="11"/>
        <color rgb="FF000000"/>
        <rFont val="Noto Sans CJK SC"/>
        <family val="2"/>
      </rPr>
      <t>클램프 다이오드 경유</t>
    </r>
    <r>
      <rPr>
        <sz val="11"/>
        <color rgb="FF000000"/>
        <rFont val="Arial"/>
        <family val="2"/>
      </rPr>
      <t xml:space="preserve">) - </t>
    </r>
    <r>
      <rPr>
        <sz val="11"/>
        <color rgb="FF000000"/>
        <rFont val="Noto Sans CJK SC"/>
        <family val="2"/>
      </rPr>
      <t>정상적 물리 현상</t>
    </r>
  </si>
  <si>
    <r>
      <rPr>
        <sz val="11"/>
        <color rgb="FF000000"/>
        <rFont val="Noto Sans CJK SC"/>
        <family val="2"/>
      </rPr>
      <t>확인만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조치 불요</t>
    </r>
  </si>
  <si>
    <r>
      <rPr>
        <sz val="11"/>
        <color rgb="FF000000"/>
        <rFont val="Arial"/>
        <family val="2"/>
      </rPr>
      <t xml:space="preserve">VCC=5V </t>
    </r>
    <r>
      <rPr>
        <sz val="11"/>
        <color rgb="FF000000"/>
        <rFont val="Noto Sans CJK SC"/>
        <family val="2"/>
      </rPr>
      <t xml:space="preserve">정상 공급 시에도 </t>
    </r>
    <r>
      <rPr>
        <sz val="11"/>
        <color rgb="FF000000"/>
        <rFont val="Arial"/>
        <family val="2"/>
      </rPr>
      <t xml:space="preserve">ADC </t>
    </r>
    <r>
      <rPr>
        <sz val="11"/>
        <color rgb="FF000000"/>
        <rFont val="Noto Sans CJK SC"/>
        <family val="2"/>
      </rPr>
      <t>변환 오차</t>
    </r>
    <r>
      <rPr>
        <sz val="11"/>
        <color rgb="FF000000"/>
        <rFont val="Arial"/>
        <family val="2"/>
      </rPr>
      <t xml:space="preserve">/Error </t>
    </r>
    <r>
      <rPr>
        <sz val="11"/>
        <color rgb="FF000000"/>
        <rFont val="Noto Sans CJK SC"/>
        <family val="2"/>
      </rPr>
      <t>발생</t>
    </r>
  </si>
  <si>
    <r>
      <rPr>
        <sz val="11"/>
        <color rgb="FF000000"/>
        <rFont val="Arial"/>
        <family val="2"/>
      </rPr>
      <t>R3=470k</t>
    </r>
    <r>
      <rPr>
        <sz val="11"/>
        <color rgb="FF000000"/>
        <rFont val="Noto Sans CJK SC"/>
        <family val="2"/>
      </rPr>
      <t>옴가 너무 커서 ① 입력 누설전류</t>
    </r>
    <r>
      <rPr>
        <sz val="11"/>
        <color rgb="FF000000"/>
        <rFont val="Arial"/>
        <family val="2"/>
      </rPr>
      <t xml:space="preserve">(IIL) </t>
    </r>
    <r>
      <rPr>
        <sz val="11"/>
        <color rgb="FF000000"/>
        <rFont val="Noto Sans CJK SC"/>
        <family val="2"/>
      </rPr>
      <t>전압강하</t>
    </r>
    <r>
      <rPr>
        <sz val="11"/>
        <color rgb="FF000000"/>
        <rFont val="Arial"/>
        <family val="2"/>
      </rPr>
      <t xml:space="preserve">, ② S/H </t>
    </r>
    <r>
      <rPr>
        <sz val="11"/>
        <color rgb="FF000000"/>
        <rFont val="Noto Sans CJK SC"/>
        <family val="2"/>
      </rPr>
      <t xml:space="preserve">커패시터 </t>
    </r>
    <r>
      <rPr>
        <sz val="11"/>
        <color rgb="FF000000"/>
        <rFont val="Arial"/>
        <family val="2"/>
      </rPr>
      <t xml:space="preserve">RC </t>
    </r>
    <r>
      <rPr>
        <sz val="11"/>
        <color rgb="FF000000"/>
        <rFont val="Noto Sans CJK SC"/>
        <family val="2"/>
      </rPr>
      <t>미충전</t>
    </r>
  </si>
  <si>
    <t>원인 규명</t>
  </si>
  <si>
    <r>
      <rPr>
        <sz val="11"/>
        <color rgb="FF000000"/>
        <rFont val="Noto Sans CJK SC"/>
        <family val="2"/>
      </rPr>
      <t xml:space="preserve">특정 보드 </t>
    </r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 xml:space="preserve">대에서만 </t>
    </r>
    <r>
      <rPr>
        <sz val="11"/>
        <color rgb="FF000000"/>
        <rFont val="Arial"/>
        <family val="2"/>
      </rPr>
      <t xml:space="preserve">R3 </t>
    </r>
    <r>
      <rPr>
        <sz val="11"/>
        <color rgb="FF000000"/>
        <rFont val="Noto Sans CJK SC"/>
        <family val="2"/>
      </rPr>
      <t xml:space="preserve">실측 </t>
    </r>
    <r>
      <rPr>
        <sz val="11"/>
        <color rgb="FF000000"/>
        <rFont val="Arial"/>
        <family val="2"/>
      </rPr>
      <t>2.8M</t>
    </r>
    <r>
      <rPr>
        <sz val="11"/>
        <color rgb="FF000000"/>
        <rFont val="Noto Sans CJK SC"/>
        <family val="2"/>
      </rPr>
      <t xml:space="preserve">옴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 xml:space="preserve">표기 </t>
    </r>
    <r>
      <rPr>
        <sz val="11"/>
        <color rgb="FF000000"/>
        <rFont val="Arial"/>
        <family val="2"/>
      </rPr>
      <t>470k</t>
    </r>
    <r>
      <rPr>
        <sz val="11"/>
        <color rgb="FF000000"/>
        <rFont val="Noto Sans CJK SC"/>
        <family val="2"/>
      </rPr>
      <t xml:space="preserve">옴 대비 </t>
    </r>
    <r>
      <rPr>
        <sz val="11"/>
        <color rgb="FF000000"/>
        <rFont val="Arial"/>
        <family val="2"/>
      </rPr>
      <t>6</t>
    </r>
    <r>
      <rPr>
        <sz val="11"/>
        <color rgb="FF000000"/>
        <rFont val="Noto Sans CJK SC"/>
        <family val="2"/>
      </rPr>
      <t>배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</si>
  <si>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Noto Sans CJK SC"/>
        <family val="2"/>
      </rPr>
      <t xml:space="preserve">저항 부품 자체의 크랙 불량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개체 불량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설계 결함 아님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</si>
  <si>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Noto Sans CJK SC"/>
        <family val="2"/>
      </rPr>
      <t xml:space="preserve">해결 완료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저항 교체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</si>
  <si>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Arial"/>
        <family val="2"/>
      </rPr>
      <t>R3=0</t>
    </r>
    <r>
      <rPr>
        <sz val="11"/>
        <color rgb="FF000000"/>
        <rFont val="Noto Sans CJK SC"/>
        <family val="2"/>
      </rPr>
      <t>옴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쇼트</t>
    </r>
    <r>
      <rPr>
        <sz val="11"/>
        <color rgb="FF000000"/>
        <rFont val="Arial"/>
        <family val="2"/>
      </rPr>
      <t>)</t>
    </r>
    <r>
      <rPr>
        <sz val="11"/>
        <color rgb="FF000000"/>
        <rFont val="Noto Sans CJK SC"/>
        <family val="2"/>
      </rPr>
      <t xml:space="preserve">까지 해봐도 </t>
    </r>
    <r>
      <rPr>
        <sz val="11"/>
        <color rgb="FF000000"/>
        <rFont val="Arial"/>
        <family val="2"/>
      </rPr>
      <t xml:space="preserve">Low Battery </t>
    </r>
    <r>
      <rPr>
        <sz val="11"/>
        <color rgb="FF000000"/>
        <rFont val="Noto Sans CJK SC"/>
        <family val="2"/>
      </rPr>
      <t>지속</t>
    </r>
  </si>
  <si>
    <r>
      <rPr>
        <sz val="11"/>
        <color rgb="FF000000"/>
        <rFont val="Arial"/>
        <family val="2"/>
      </rPr>
      <t>task_ADC2_ADCIN()</t>
    </r>
    <r>
      <rPr>
        <sz val="11"/>
        <color rgb="FF000000"/>
        <rFont val="Noto Sans CJK SC"/>
        <family val="2"/>
      </rPr>
      <t xml:space="preserve">이 </t>
    </r>
    <r>
      <rPr>
        <sz val="11"/>
        <color rgb="FF000000"/>
        <rFont val="Arial"/>
        <family val="2"/>
      </rPr>
      <t xml:space="preserve">Continuous Scan </t>
    </r>
    <r>
      <rPr>
        <sz val="11"/>
        <color rgb="FF000000"/>
        <rFont val="Noto Sans CJK SC"/>
        <family val="2"/>
      </rPr>
      <t xml:space="preserve">중 </t>
    </r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 xml:space="preserve">회 대기 부족으로 낡은 채널 값을 읽는 </t>
    </r>
    <r>
      <rPr>
        <sz val="11"/>
        <color rgb="FF000000"/>
        <rFont val="Arial"/>
        <family val="2"/>
      </rPr>
      <t xml:space="preserve">SW </t>
    </r>
    <r>
      <rPr>
        <sz val="11"/>
        <color rgb="FF000000"/>
        <rFont val="Noto Sans CJK SC"/>
        <family val="2"/>
      </rPr>
      <t>레이스 컨디션</t>
    </r>
  </si>
  <si>
    <r>
      <rPr>
        <sz val="11"/>
        <color rgb="FF000000"/>
        <rFont val="Noto Sans CJK SC"/>
        <family val="2"/>
      </rPr>
      <t xml:space="preserve">해결 완료 </t>
    </r>
    <r>
      <rPr>
        <sz val="11"/>
        <color rgb="FF000000"/>
        <rFont val="Arial"/>
        <family val="2"/>
      </rPr>
      <t xml:space="preserve">(VALID </t>
    </r>
    <r>
      <rPr>
        <sz val="11"/>
        <color rgb="FF000000"/>
        <rFont val="Noto Sans CJK SC"/>
        <family val="2"/>
      </rPr>
      <t>비트 리팩토링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</si>
  <si>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Noto Sans CJK SC"/>
        <family val="2"/>
      </rPr>
      <t>디버거 연결 시엔 정상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배터리 단독 시 재현</t>
    </r>
  </si>
  <si>
    <r>
      <rPr>
        <sz val="11"/>
        <color rgb="FF000000"/>
        <rFont val="Arial"/>
        <family val="2"/>
      </rPr>
      <t>Nu-Link Power Control</t>
    </r>
    <r>
      <rPr>
        <sz val="11"/>
        <color rgb="FF000000"/>
        <rFont val="Noto Sans CJK SC"/>
        <family val="2"/>
      </rPr>
      <t xml:space="preserve">이 </t>
    </r>
    <r>
      <rPr>
        <sz val="11"/>
        <color rgb="FF000000"/>
        <rFont val="Arial"/>
        <family val="2"/>
      </rPr>
      <t>IO Voltage 3.3V</t>
    </r>
    <r>
      <rPr>
        <sz val="11"/>
        <color rgb="FF000000"/>
        <rFont val="Noto Sans CJK SC"/>
        <family val="2"/>
      </rPr>
      <t xml:space="preserve">로 설정되어 실제 </t>
    </r>
    <r>
      <rPr>
        <sz val="11"/>
        <color rgb="FF000000"/>
        <rFont val="Arial"/>
        <family val="2"/>
      </rPr>
      <t xml:space="preserve">U5 </t>
    </r>
    <r>
      <rPr>
        <sz val="11"/>
        <color rgb="FF000000"/>
        <rFont val="Noto Sans CJK SC"/>
        <family val="2"/>
      </rPr>
      <t>출력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 xml:space="preserve">약 </t>
    </r>
    <r>
      <rPr>
        <sz val="11"/>
        <color rgb="FF000000"/>
        <rFont val="Arial"/>
        <family val="2"/>
      </rPr>
      <t>5V)</t>
    </r>
    <r>
      <rPr>
        <sz val="11"/>
        <color rgb="FF000000"/>
        <rFont val="Noto Sans CJK SC"/>
        <family val="2"/>
      </rPr>
      <t xml:space="preserve">과 불일치 → </t>
    </r>
    <r>
      <rPr>
        <sz val="11"/>
        <color rgb="FF000000"/>
        <rFont val="Arial"/>
        <family val="2"/>
      </rPr>
      <t xml:space="preserve">ADC </t>
    </r>
    <r>
      <rPr>
        <sz val="11"/>
        <color rgb="FF000000"/>
        <rFont val="Noto Sans CJK SC"/>
        <family val="2"/>
      </rPr>
      <t>포화로 판정 로직 무력화</t>
    </r>
  </si>
  <si>
    <r>
      <rPr>
        <sz val="11"/>
        <color rgb="FF000000"/>
        <rFont val="Noto Sans CJK SC"/>
        <family val="2"/>
      </rPr>
      <t xml:space="preserve">해결 완료 </t>
    </r>
    <r>
      <rPr>
        <sz val="11"/>
        <color rgb="FF000000"/>
        <rFont val="Arial"/>
        <family val="2"/>
      </rPr>
      <t>(5V</t>
    </r>
    <r>
      <rPr>
        <sz val="11"/>
        <color rgb="FF000000"/>
        <rFont val="Noto Sans CJK SC"/>
        <family val="2"/>
      </rPr>
      <t>로 재설정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</si>
  <si>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Arial"/>
        <family val="2"/>
      </rPr>
      <t>R3=470k</t>
    </r>
    <r>
      <rPr>
        <sz val="11"/>
        <color rgb="FF000000"/>
        <rFont val="Noto Sans CJK SC"/>
        <family val="2"/>
      </rPr>
      <t>옴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정상</t>
    </r>
    <r>
      <rPr>
        <sz val="11"/>
        <color rgb="FF000000"/>
        <rFont val="Arial"/>
        <family val="2"/>
      </rPr>
      <t xml:space="preserve">) </t>
    </r>
    <r>
      <rPr>
        <sz val="11"/>
        <color rgb="FF000000"/>
        <rFont val="Noto Sans CJK SC"/>
        <family val="2"/>
      </rPr>
      <t xml:space="preserve">상태에서 </t>
    </r>
    <r>
      <rPr>
        <sz val="11"/>
        <color rgb="FF000000"/>
        <rFont val="Arial"/>
        <family val="2"/>
      </rPr>
      <t xml:space="preserve">raw code </t>
    </r>
    <r>
      <rPr>
        <sz val="11"/>
        <color rgb="FF000000"/>
        <rFont val="Noto Sans CJK SC"/>
        <family val="2"/>
      </rPr>
      <t>기준 배터리</t>
    </r>
    <r>
      <rPr>
        <sz val="11"/>
        <color rgb="FF000000"/>
        <rFont val="Arial"/>
        <family val="2"/>
      </rPr>
      <t xml:space="preserve">(4.02V) </t>
    </r>
    <r>
      <rPr>
        <sz val="11"/>
        <color rgb="FF000000"/>
        <rFont val="Noto Sans CJK SC"/>
        <family val="2"/>
      </rPr>
      <t xml:space="preserve">대비 약 </t>
    </r>
    <r>
      <rPr>
        <sz val="11"/>
        <color rgb="FF000000"/>
        <rFont val="Arial"/>
        <family val="2"/>
      </rPr>
      <t xml:space="preserve">0.845V </t>
    </r>
    <r>
      <rPr>
        <sz val="11"/>
        <color rgb="FF000000"/>
        <rFont val="Noto Sans CJK SC"/>
        <family val="2"/>
      </rPr>
      <t>낮게 측정</t>
    </r>
  </si>
  <si>
    <r>
      <rPr>
        <sz val="11"/>
        <color rgb="FF000000"/>
        <rFont val="Arial"/>
        <family val="2"/>
      </rPr>
      <t>R3=470k</t>
    </r>
    <r>
      <rPr>
        <sz val="11"/>
        <color rgb="FF000000"/>
        <rFont val="Noto Sans CJK SC"/>
        <family val="2"/>
      </rPr>
      <t xml:space="preserve">옴 설계 자체의 근본적 오차 마진 부족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전 보드 공통 이슈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</si>
  <si>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Noto Sans CJK SC"/>
        <family val="2"/>
      </rPr>
      <t xml:space="preserve">하드웨어 리비전 필요 </t>
    </r>
    <r>
      <rPr>
        <sz val="11"/>
        <color rgb="FF000000"/>
        <rFont val="Arial"/>
        <family val="2"/>
      </rPr>
      <t xml:space="preserve">/ </t>
    </r>
    <r>
      <rPr>
        <sz val="11"/>
        <color rgb="FF000000"/>
        <rFont val="Noto Sans CJK SC"/>
        <family val="2"/>
      </rPr>
      <t xml:space="preserve">임시 </t>
    </r>
    <r>
      <rPr>
        <sz val="11"/>
        <color rgb="FF000000"/>
        <rFont val="Arial"/>
        <family val="2"/>
      </rPr>
      <t>SW</t>
    </r>
    <r>
      <rPr>
        <sz val="11"/>
        <color rgb="FF000000"/>
        <rFont val="Noto Sans CJK SC"/>
        <family val="2"/>
      </rPr>
      <t>보정 가능</t>
    </r>
  </si>
  <si>
    <r>
      <rPr>
        <b/>
        <i/>
        <sz val="10"/>
        <color rgb="FFC00000"/>
        <rFont val="Noto Sans CJK SC"/>
        <family val="2"/>
      </rPr>
      <t>결론</t>
    </r>
    <r>
      <rPr>
        <b/>
        <i/>
        <sz val="10"/>
        <color rgb="FFC00000"/>
        <rFont val="Arial"/>
        <family val="2"/>
      </rPr>
      <t xml:space="preserve">: </t>
    </r>
    <r>
      <rPr>
        <b/>
        <i/>
        <sz val="10"/>
        <color rgb="FFC00000"/>
        <rFont val="Noto Sans CJK SC"/>
        <family val="2"/>
      </rPr>
      <t>소프트웨어 버그</t>
    </r>
    <r>
      <rPr>
        <b/>
        <i/>
        <sz val="10"/>
        <color rgb="FFC00000"/>
        <rFont val="Arial"/>
        <family val="2"/>
      </rPr>
      <t>(#4)</t>
    </r>
    <r>
      <rPr>
        <b/>
        <i/>
        <sz val="10"/>
        <color rgb="FFC00000"/>
        <rFont val="Noto Sans CJK SC"/>
        <family val="2"/>
      </rPr>
      <t>와 테스트 환경 오류</t>
    </r>
    <r>
      <rPr>
        <b/>
        <i/>
        <sz val="10"/>
        <color rgb="FFC00000"/>
        <rFont val="Arial"/>
        <family val="2"/>
      </rPr>
      <t>(#5)</t>
    </r>
    <r>
      <rPr>
        <b/>
        <i/>
        <sz val="10"/>
        <color rgb="FFC00000"/>
        <rFont val="Noto Sans CJK SC"/>
        <family val="2"/>
      </rPr>
      <t>는 완전히 해결되었으나</t>
    </r>
    <r>
      <rPr>
        <b/>
        <i/>
        <sz val="10"/>
        <color rgb="FFC00000"/>
        <rFont val="Arial"/>
        <family val="2"/>
      </rPr>
      <t>, #6(R3 470k</t>
    </r>
    <r>
      <rPr>
        <b/>
        <i/>
        <sz val="10"/>
        <color rgb="FFC00000"/>
        <rFont val="Noto Sans CJK SC"/>
        <family val="2"/>
      </rPr>
      <t>옴 설계 마진 부족</t>
    </r>
    <r>
      <rPr>
        <b/>
        <i/>
        <sz val="10"/>
        <color rgb="FFC00000"/>
        <rFont val="Arial"/>
        <family val="2"/>
      </rPr>
      <t>)</t>
    </r>
    <r>
      <rPr>
        <b/>
        <i/>
        <sz val="10"/>
        <color rgb="FFC00000"/>
        <rFont val="Noto Sans CJK SC"/>
        <family val="2"/>
      </rPr>
      <t>은 회로 설계 자체의 근본 이슈로 전 보드에 상존함</t>
    </r>
    <r>
      <rPr>
        <b/>
        <i/>
        <sz val="10"/>
        <color rgb="FFC00000"/>
        <rFont val="Arial"/>
        <family val="2"/>
      </rPr>
      <t>.</t>
    </r>
  </si>
  <si>
    <r>
      <rPr>
        <b/>
        <sz val="14"/>
        <rFont val="Arial"/>
        <family val="2"/>
      </rPr>
      <t xml:space="preserve">R3 </t>
    </r>
    <r>
      <rPr>
        <b/>
        <sz val="14"/>
        <rFont val="Noto Sans CJK SC"/>
        <family val="2"/>
      </rPr>
      <t xml:space="preserve">저항값별 </t>
    </r>
    <r>
      <rPr>
        <b/>
        <sz val="14"/>
        <rFont val="Arial"/>
        <family val="2"/>
      </rPr>
      <t xml:space="preserve">Power-Off </t>
    </r>
    <r>
      <rPr>
        <b/>
        <sz val="14"/>
        <rFont val="Noto Sans CJK SC"/>
        <family val="2"/>
      </rPr>
      <t xml:space="preserve">소비전력 </t>
    </r>
    <r>
      <rPr>
        <b/>
        <sz val="14"/>
        <rFont val="Arial"/>
        <family val="2"/>
      </rPr>
      <t xml:space="preserve">vs ADC </t>
    </r>
    <r>
      <rPr>
        <b/>
        <sz val="14"/>
        <rFont val="Noto Sans CJK SC"/>
        <family val="2"/>
      </rPr>
      <t>정확도 비교</t>
    </r>
  </si>
  <si>
    <r>
      <rPr>
        <b/>
        <sz val="11"/>
        <color rgb="FF1F4E78"/>
        <rFont val="Noto Sans CJK SC"/>
        <family val="2"/>
      </rPr>
      <t xml:space="preserve">입력 조건 </t>
    </r>
    <r>
      <rPr>
        <b/>
        <sz val="11"/>
        <color rgb="FF1F4E78"/>
        <rFont val="Arial"/>
        <family val="2"/>
      </rPr>
      <t>(</t>
    </r>
    <r>
      <rPr>
        <b/>
        <sz val="11"/>
        <color rgb="FF1F4E78"/>
        <rFont val="Noto Sans CJK SC"/>
        <family val="2"/>
      </rPr>
      <t>가정</t>
    </r>
    <r>
      <rPr>
        <b/>
        <sz val="11"/>
        <color rgb="FF1F4E78"/>
        <rFont val="Arial"/>
        <family val="2"/>
      </rPr>
      <t>)</t>
    </r>
  </si>
  <si>
    <r>
      <rPr>
        <sz val="11"/>
        <color rgb="FF000000"/>
        <rFont val="Noto Sans CJK SC"/>
        <family val="2"/>
      </rPr>
      <t xml:space="preserve">배터리 전압 </t>
    </r>
    <r>
      <rPr>
        <sz val="11"/>
        <color rgb="FF000000"/>
        <rFont val="Arial"/>
        <family val="2"/>
      </rPr>
      <t>(V_batt)</t>
    </r>
  </si>
  <si>
    <t>V</t>
  </si>
  <si>
    <t>완충 기준</t>
  </si>
  <si>
    <r>
      <rPr>
        <sz val="11"/>
        <color rgb="FF000000"/>
        <rFont val="Arial"/>
        <family val="2"/>
      </rPr>
      <t xml:space="preserve">MCU ESD </t>
    </r>
    <r>
      <rPr>
        <sz val="11"/>
        <color rgb="FF000000"/>
        <rFont val="Noto Sans CJK SC"/>
        <family val="2"/>
      </rPr>
      <t xml:space="preserve">다이오드 순방향전압 </t>
    </r>
    <r>
      <rPr>
        <sz val="11"/>
        <color rgb="FF000000"/>
        <rFont val="Arial"/>
        <family val="2"/>
      </rPr>
      <t>(V_f)</t>
    </r>
  </si>
  <si>
    <t>전형값</t>
  </si>
  <si>
    <r>
      <rPr>
        <sz val="11"/>
        <color rgb="FF000000"/>
        <rFont val="Noto Sans CJK SC"/>
        <family val="2"/>
      </rPr>
      <t xml:space="preserve">현재 </t>
    </r>
    <r>
      <rPr>
        <sz val="11"/>
        <color rgb="FF000000"/>
        <rFont val="Arial"/>
        <family val="2"/>
      </rPr>
      <t xml:space="preserve">R3 </t>
    </r>
    <r>
      <rPr>
        <sz val="11"/>
        <color rgb="FF000000"/>
        <rFont val="Noto Sans CJK SC"/>
        <family val="2"/>
      </rPr>
      <t>실측값</t>
    </r>
  </si>
  <si>
    <t>옴</t>
  </si>
  <si>
    <r>
      <rPr>
        <i/>
        <sz val="9"/>
        <color rgb="FF666666"/>
        <rFont val="Noto Sans CJK SC"/>
        <family val="2"/>
      </rPr>
      <t xml:space="preserve">표기 </t>
    </r>
    <r>
      <rPr>
        <i/>
        <sz val="9"/>
        <color rgb="FF666666"/>
        <rFont val="Arial"/>
        <family val="2"/>
      </rPr>
      <t xml:space="preserve">474, </t>
    </r>
    <r>
      <rPr>
        <i/>
        <sz val="9"/>
        <color rgb="FF666666"/>
        <rFont val="Noto Sans CJK SC"/>
        <family val="2"/>
      </rPr>
      <t>실측 확인</t>
    </r>
  </si>
  <si>
    <r>
      <rPr>
        <sz val="11"/>
        <color rgb="FF000000"/>
        <rFont val="Noto Sans CJK SC"/>
        <family val="2"/>
      </rPr>
      <t xml:space="preserve">현재 </t>
    </r>
    <r>
      <rPr>
        <sz val="11"/>
        <color rgb="FF000000"/>
        <rFont val="Arial"/>
        <family val="2"/>
      </rPr>
      <t>R3</t>
    </r>
    <r>
      <rPr>
        <sz val="11"/>
        <color rgb="FF000000"/>
        <rFont val="Noto Sans CJK SC"/>
        <family val="2"/>
      </rPr>
      <t xml:space="preserve">에서 실측된 </t>
    </r>
    <r>
      <rPr>
        <sz val="11"/>
        <color rgb="FF000000"/>
        <rFont val="Arial"/>
        <family val="2"/>
      </rPr>
      <t xml:space="preserve">ADC </t>
    </r>
    <r>
      <rPr>
        <sz val="11"/>
        <color rgb="FF000000"/>
        <rFont val="Noto Sans CJK SC"/>
        <family val="2"/>
      </rPr>
      <t>오프셋 오차</t>
    </r>
  </si>
  <si>
    <r>
      <rPr>
        <i/>
        <sz val="9"/>
        <color rgb="FF666666"/>
        <rFont val="Arial"/>
        <family val="2"/>
      </rPr>
      <t xml:space="preserve">P81=4.02V </t>
    </r>
    <r>
      <rPr>
        <i/>
        <sz val="9"/>
        <color rgb="FF666666"/>
        <rFont val="Noto Sans CJK SC"/>
        <family val="2"/>
      </rPr>
      <t xml:space="preserve">실측 </t>
    </r>
    <r>
      <rPr>
        <i/>
        <sz val="9"/>
        <color rgb="FF666666"/>
        <rFont val="Arial"/>
        <family val="2"/>
      </rPr>
      <t xml:space="preserve">vs raw code </t>
    </r>
    <r>
      <rPr>
        <i/>
        <sz val="9"/>
        <color rgb="FF666666"/>
        <rFont val="Noto Sans CJK SC"/>
        <family val="2"/>
      </rPr>
      <t>환산치 비교</t>
    </r>
  </si>
  <si>
    <t>비교표</t>
  </si>
  <si>
    <t>항목</t>
  </si>
  <si>
    <r>
      <rPr>
        <b/>
        <sz val="11"/>
        <color rgb="FFFFFFFF"/>
        <rFont val="Arial"/>
        <family val="2"/>
      </rPr>
      <t>R3 = 4.7k</t>
    </r>
    <r>
      <rPr>
        <b/>
        <sz val="11"/>
        <color rgb="FFFFFFFF"/>
        <rFont val="Noto Sans CJK SC"/>
        <family val="2"/>
      </rPr>
      <t xml:space="preserve">옴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게이팅 권장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</si>
  <si>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R3 = 47k</t>
    </r>
    <r>
      <rPr>
        <b/>
        <sz val="11"/>
        <color rgb="FFFFFFFF"/>
        <rFont val="Noto Sans CJK SC"/>
        <family val="2"/>
      </rPr>
      <t>옴</t>
    </r>
  </si>
  <si>
    <r>
      <rPr>
        <b/>
        <sz val="11"/>
        <color rgb="FFFFFFFF"/>
        <rFont val="Arial"/>
        <family val="2"/>
      </rPr>
      <t>R3 = 100k</t>
    </r>
    <r>
      <rPr>
        <b/>
        <sz val="11"/>
        <color rgb="FFFFFFFF"/>
        <rFont val="Noto Sans CJK SC"/>
        <family val="2"/>
      </rPr>
      <t>옴</t>
    </r>
  </si>
  <si>
    <r>
      <rPr>
        <b/>
        <sz val="11"/>
        <color rgb="FFFFFFFF"/>
        <rFont val="Arial"/>
        <family val="2"/>
      </rPr>
      <t>R3 = 470k</t>
    </r>
    <r>
      <rPr>
        <b/>
        <sz val="11"/>
        <color rgb="FFFFFFFF"/>
        <rFont val="Noto Sans CJK SC"/>
        <family val="2"/>
      </rPr>
      <t xml:space="preserve">옴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현재</t>
    </r>
    <r>
      <rPr>
        <b/>
        <sz val="11"/>
        <color rgb="FFFFFFFF"/>
        <rFont val="Arial"/>
        <family val="2"/>
      </rPr>
      <t xml:space="preserve">, </t>
    </r>
    <r>
      <rPr>
        <b/>
        <sz val="11"/>
        <color rgb="FFFFFFFF"/>
        <rFont val="Noto Sans CJK SC"/>
        <family val="2"/>
      </rPr>
      <t>참고</t>
    </r>
    <r>
      <rPr>
        <b/>
        <sz val="11"/>
        <color rgb="FFFFFFFF"/>
        <rFont val="Arial"/>
        <family val="2"/>
      </rPr>
      <t>)</t>
    </r>
  </si>
  <si>
    <r>
      <rPr>
        <sz val="11"/>
        <color rgb="FF000000"/>
        <rFont val="Arial"/>
        <family val="2"/>
      </rPr>
      <t xml:space="preserve">R3 </t>
    </r>
    <r>
      <rPr>
        <sz val="11"/>
        <color rgb="FF000000"/>
        <rFont val="Noto Sans CJK SC"/>
        <family val="2"/>
      </rPr>
      <t xml:space="preserve">저항값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옴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</si>
  <si>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Arial"/>
        <family val="2"/>
      </rPr>
      <t xml:space="preserve">Power-Off </t>
    </r>
    <r>
      <rPr>
        <sz val="11"/>
        <color rgb="FF000000"/>
        <rFont val="Noto Sans CJK SC"/>
        <family val="2"/>
      </rPr>
      <t xml:space="preserve">누설전류 </t>
    </r>
    <r>
      <rPr>
        <sz val="11"/>
        <color rgb="FF000000"/>
        <rFont val="Arial"/>
        <family val="2"/>
      </rPr>
      <t>I_leak (uA)</t>
    </r>
  </si>
  <si>
    <r>
      <rPr>
        <sz val="11"/>
        <color rgb="FF000000"/>
        <rFont val="Arial"/>
        <family val="2"/>
      </rPr>
      <t>24</t>
    </r>
    <r>
      <rPr>
        <sz val="11"/>
        <color rgb="FF000000"/>
        <rFont val="Noto Sans CJK SC"/>
        <family val="2"/>
      </rPr>
      <t xml:space="preserve">시간 방치 시 소모 전하량 </t>
    </r>
    <r>
      <rPr>
        <sz val="11"/>
        <color rgb="FF000000"/>
        <rFont val="Arial"/>
        <family val="2"/>
      </rPr>
      <t>(mAh)</t>
    </r>
  </si>
  <si>
    <r>
      <rPr>
        <sz val="11"/>
        <color rgb="FF000000"/>
        <rFont val="Noto Sans CJK SC"/>
        <family val="2"/>
      </rPr>
      <t xml:space="preserve">예상 </t>
    </r>
    <r>
      <rPr>
        <sz val="11"/>
        <color rgb="FF000000"/>
        <rFont val="Arial"/>
        <family val="2"/>
      </rPr>
      <t xml:space="preserve">ADC </t>
    </r>
    <r>
      <rPr>
        <sz val="11"/>
        <color rgb="FF000000"/>
        <rFont val="Noto Sans CJK SC"/>
        <family val="2"/>
      </rPr>
      <t xml:space="preserve">오프셋 오차 </t>
    </r>
    <r>
      <rPr>
        <sz val="11"/>
        <color rgb="FF000000"/>
        <rFont val="Arial"/>
        <family val="2"/>
      </rPr>
      <t xml:space="preserve">(V, </t>
    </r>
    <r>
      <rPr>
        <sz val="11"/>
        <color rgb="FF000000"/>
        <rFont val="Noto Sans CJK SC"/>
        <family val="2"/>
      </rPr>
      <t>선형 근사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</si>
  <si>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Arial"/>
        <family val="2"/>
      </rPr>
      <t xml:space="preserve">ADC3P1(3.1V) </t>
    </r>
    <r>
      <rPr>
        <sz val="11"/>
        <color rgb="FF000000"/>
        <rFont val="Noto Sans CJK SC"/>
        <family val="2"/>
      </rPr>
      <t xml:space="preserve">대비 오차 비율 </t>
    </r>
    <r>
      <rPr>
        <sz val="11"/>
        <color rgb="FF000000"/>
        <rFont val="Arial"/>
        <family val="2"/>
      </rPr>
      <t>(%)</t>
    </r>
  </si>
  <si>
    <t>해석 및 권장안</t>
  </si>
  <si>
    <r>
      <rPr>
        <sz val="10"/>
        <rFont val="Arial"/>
        <family val="2"/>
      </rPr>
      <t>· 47k</t>
    </r>
    <r>
      <rPr>
        <sz val="10"/>
        <rFont val="Noto Sans CJK SC"/>
        <family val="2"/>
      </rPr>
      <t>옴</t>
    </r>
    <r>
      <rPr>
        <sz val="10"/>
        <rFont val="Arial"/>
        <family val="2"/>
      </rPr>
      <t xml:space="preserve">: Power-Off </t>
    </r>
    <r>
      <rPr>
        <sz val="10"/>
        <rFont val="Noto Sans CJK SC"/>
        <family val="2"/>
      </rPr>
      <t xml:space="preserve">누설전류가 </t>
    </r>
    <r>
      <rPr>
        <sz val="10"/>
        <rFont val="Arial"/>
        <family val="2"/>
      </rPr>
      <t>100k</t>
    </r>
    <r>
      <rPr>
        <sz val="10"/>
        <rFont val="Noto Sans CJK SC"/>
        <family val="2"/>
      </rPr>
      <t xml:space="preserve">옴 대비 약 </t>
    </r>
    <r>
      <rPr>
        <sz val="10"/>
        <rFont val="Arial"/>
        <family val="2"/>
      </rPr>
      <t>2.1</t>
    </r>
    <r>
      <rPr>
        <sz val="10"/>
        <rFont val="Noto Sans CJK SC"/>
        <family val="2"/>
      </rPr>
      <t>배 크지만</t>
    </r>
    <r>
      <rPr>
        <sz val="10"/>
        <rFont val="Arial"/>
        <family val="2"/>
      </rPr>
      <t xml:space="preserve">(72.3uA vs 34.0uA), ADC </t>
    </r>
    <r>
      <rPr>
        <sz val="10"/>
        <rFont val="Noto Sans CJK SC"/>
        <family val="2"/>
      </rPr>
      <t xml:space="preserve">오차는 </t>
    </r>
    <r>
      <rPr>
        <sz val="10"/>
        <rFont val="Arial"/>
        <family val="2"/>
      </rPr>
      <t>100k</t>
    </r>
    <r>
      <rPr>
        <sz val="10"/>
        <rFont val="Noto Sans CJK SC"/>
        <family val="2"/>
      </rPr>
      <t>옴 대비 절반 이하</t>
    </r>
    <r>
      <rPr>
        <sz val="10"/>
        <rFont val="Arial"/>
        <family val="2"/>
      </rPr>
      <t>(0.085V vs 0.180V).</t>
    </r>
  </si>
  <si>
    <r>
      <rPr>
        <sz val="10"/>
        <rFont val="Arial"/>
        <family val="2"/>
      </rPr>
      <t>· 100k</t>
    </r>
    <r>
      <rPr>
        <sz val="10"/>
        <rFont val="Noto Sans CJK SC"/>
        <family val="2"/>
      </rPr>
      <t>옴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누설전류는 </t>
    </r>
    <r>
      <rPr>
        <sz val="10"/>
        <rFont val="Arial"/>
        <family val="2"/>
      </rPr>
      <t>47k</t>
    </r>
    <r>
      <rPr>
        <sz val="10"/>
        <rFont val="Noto Sans CJK SC"/>
        <family val="2"/>
      </rPr>
      <t>옴의 절반 이하지만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오차는 </t>
    </r>
    <r>
      <rPr>
        <sz val="10"/>
        <rFont val="Arial"/>
        <family val="2"/>
      </rPr>
      <t>47k</t>
    </r>
    <r>
      <rPr>
        <sz val="10"/>
        <rFont val="Noto Sans CJK SC"/>
        <family val="2"/>
      </rPr>
      <t xml:space="preserve">옴의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배 이상 남아 소프트웨어 보정 없이는 임계값 근처 오탐 여지 있음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</si>
  <si>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· 4.7k</t>
    </r>
    <r>
      <rPr>
        <sz val="10"/>
        <rFont val="Noto Sans CJK SC"/>
        <family val="2"/>
      </rPr>
      <t>옴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오차가 사실상 무시 가능한 수준</t>
    </r>
    <r>
      <rPr>
        <sz val="10"/>
        <rFont val="Arial"/>
        <family val="2"/>
      </rPr>
      <t>(0.0085V)</t>
    </r>
    <r>
      <rPr>
        <sz val="10"/>
        <rFont val="Noto Sans CJK SC"/>
        <family val="2"/>
      </rPr>
      <t>이나</t>
    </r>
    <r>
      <rPr>
        <sz val="10"/>
        <rFont val="Arial"/>
        <family val="2"/>
      </rPr>
      <t xml:space="preserve">, Power-Off </t>
    </r>
    <r>
      <rPr>
        <sz val="10"/>
        <rFont val="Noto Sans CJK SC"/>
        <family val="2"/>
      </rPr>
      <t xml:space="preserve">상시 연결 시 누설전류가 </t>
    </r>
    <r>
      <rPr>
        <sz val="10"/>
        <rFont val="Arial"/>
        <family val="2"/>
      </rPr>
      <t>723uA</t>
    </r>
    <r>
      <rPr>
        <sz val="10"/>
        <rFont val="Noto Sans CJK SC"/>
        <family val="2"/>
      </rPr>
      <t xml:space="preserve">로 큼 → </t>
    </r>
    <r>
      <rPr>
        <sz val="10"/>
        <rFont val="Arial"/>
        <family val="2"/>
      </rPr>
      <t xml:space="preserve">P-FET </t>
    </r>
    <r>
      <rPr>
        <sz val="10"/>
        <rFont val="Noto Sans CJK SC"/>
        <family val="2"/>
      </rPr>
      <t>게이팅 회로와 병행 필수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</si>
  <si>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게이팅 회로 도입이 가능하면 정확도가 가장 좋은 </t>
    </r>
    <r>
      <rPr>
        <sz val="10"/>
        <rFont val="Arial"/>
        <family val="2"/>
      </rPr>
      <t>4.7k</t>
    </r>
    <r>
      <rPr>
        <sz val="10"/>
        <rFont val="Noto Sans CJK SC"/>
        <family val="2"/>
      </rPr>
      <t xml:space="preserve">옴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게이팅 조합이 최선안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평소 회로 완전 차단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측정 순간만 연결</t>
    </r>
    <r>
      <rPr>
        <sz val="10"/>
        <rFont val="Arial"/>
        <family val="2"/>
      </rPr>
      <t>).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</si>
  <si>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게이팅 회로 없이 상시 연결 유지해야 한다면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정확도 우선 시 </t>
    </r>
    <r>
      <rPr>
        <sz val="10"/>
        <rFont val="Arial"/>
        <family val="2"/>
      </rPr>
      <t>47k</t>
    </r>
    <r>
      <rPr>
        <sz val="10"/>
        <rFont val="Noto Sans CJK SC"/>
        <family val="2"/>
      </rPr>
      <t xml:space="preserve">옴 </t>
    </r>
    <r>
      <rPr>
        <sz val="10"/>
        <rFont val="Arial"/>
        <family val="2"/>
      </rPr>
      <t xml:space="preserve">+ SW </t>
    </r>
    <r>
      <rPr>
        <sz val="10"/>
        <rFont val="Noto Sans CJK SC"/>
        <family val="2"/>
      </rPr>
      <t>오프셋 보정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소비전력 우선 시 </t>
    </r>
    <r>
      <rPr>
        <sz val="10"/>
        <rFont val="Arial"/>
        <family val="2"/>
      </rPr>
      <t>100k</t>
    </r>
    <r>
      <rPr>
        <sz val="10"/>
        <rFont val="Noto Sans CJK SC"/>
        <family val="2"/>
      </rPr>
      <t xml:space="preserve">옴 </t>
    </r>
    <r>
      <rPr>
        <sz val="10"/>
        <rFont val="Arial"/>
        <family val="2"/>
      </rPr>
      <t xml:space="preserve">+ SW </t>
    </r>
    <r>
      <rPr>
        <sz val="10"/>
        <rFont val="Noto Sans CJK SC"/>
        <family val="2"/>
      </rPr>
      <t>오프셋 보정 권장</t>
    </r>
    <r>
      <rPr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</si>
</sst>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\%"/>
  </numFmts>
  <fonts count="2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4"/>
      <name val="Noto Sans CJK SC"/>
      <family val="2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sz val="11"/>
      <color rgb="FF1F4E78"/>
      <name val="Arial"/>
      <family val="2"/>
    </font>
    <font>
      <b/>
      <sz val="11"/>
      <color rgb="FF1F4E78"/>
      <name val="Noto Sans CJK SC"/>
      <family val="2"/>
    </font>
    <font>
      <sz val="11"/>
      <color theme="1"/>
      <name val="Noto Sans CJK SC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sz val="11"/>
      <color rgb="FF000000"/>
      <name val="Arial"/>
      <family val="2"/>
    </font>
    <font>
      <sz val="11"/>
      <color rgb="FF000000"/>
      <name val="Noto Sans CJK SC"/>
      <family val="2"/>
    </font>
    <font>
      <b/>
      <i/>
      <sz val="10"/>
      <color rgb="FFC00000"/>
      <name val="Noto Sans CJK SC"/>
      <family val="2"/>
    </font>
    <font>
      <b/>
      <i/>
      <sz val="10"/>
      <color rgb="FFC00000"/>
      <name val="Arial"/>
      <family val="2"/>
    </font>
    <font>
      <sz val="11"/>
      <color rgb="FF0000FF"/>
      <name val="Arial"/>
      <family val="2"/>
    </font>
    <font>
      <i/>
      <sz val="11"/>
      <color rgb="FF666666"/>
      <name val="Arial"/>
      <family val="2"/>
    </font>
    <font>
      <i/>
      <sz val="11"/>
      <color rgb="FF666666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4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7" fillId="0" borderId="0" xfId="0" applyFont="1"/>
    <xf numFmtId="0" fontId="1" fillId="0" borderId="0" xfId="0" applyFont="1"/>
    <xf numFmtId="0" fontId="12" fillId="0" borderId="0" xfId="0" applyFont="1"/>
    <xf numFmtId="0" fontId="0" fillId="0" borderId="0" xfId="0" applyAlignment="1">
      <alignment vertical="top" wrapText="1"/>
    </xf>
    <xf numFmtId="0" fontId="1" fillId="0" borderId="0" xfId="0" applyFont="1"/>
    <xf numFmtId="0" fontId="3" fillId="0" borderId="0" xfId="0" applyFont="1"/>
    <xf numFmtId="0" fontId="5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6" fillId="0" borderId="0" xfId="0" applyFont="1"/>
    <xf numFmtId="0" fontId="11" fillId="0" borderId="0" xfId="0" applyFont="1"/>
    <xf numFmtId="0" fontId="14" fillId="4" borderId="0" xfId="0" applyFont="1" applyFill="1"/>
    <xf numFmtId="0" fontId="15" fillId="0" borderId="0" xfId="0" applyFont="1"/>
    <xf numFmtId="0" fontId="10" fillId="0" borderId="0" xfId="0" applyFont="1"/>
    <xf numFmtId="0" fontId="16" fillId="0" borderId="0" xfId="0" applyFont="1"/>
    <xf numFmtId="0" fontId="4" fillId="0" borderId="0" xfId="0" applyFont="1"/>
    <xf numFmtId="0" fontId="10" fillId="0" borderId="1" xfId="0" applyFont="1" applyBorder="1"/>
    <xf numFmtId="3" fontId="14" fillId="5" borderId="1" xfId="0" applyNumberFormat="1" applyFont="1" applyFill="1" applyBorder="1" applyAlignment="1">
      <alignment horizontal="center"/>
    </xf>
    <xf numFmtId="3" fontId="14" fillId="0" borderId="1" xfId="0" applyNumberFormat="1" applyFont="1" applyBorder="1" applyAlignment="1">
      <alignment horizontal="center"/>
    </xf>
    <xf numFmtId="176" fontId="10" fillId="5" borderId="1" xfId="0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center"/>
    </xf>
    <xf numFmtId="177" fontId="10" fillId="5" borderId="1" xfId="0" applyNumberFormat="1" applyFont="1" applyFill="1" applyBorder="1" applyAlignment="1">
      <alignment horizontal="center"/>
    </xf>
    <xf numFmtId="177" fontId="10" fillId="0" borderId="1" xfId="0" applyNumberFormat="1" applyFont="1" applyBorder="1" applyAlignment="1">
      <alignment horizontal="center"/>
    </xf>
    <xf numFmtId="0" fontId="11" fillId="0" borderId="1" xfId="0" applyFont="1" applyBorder="1"/>
    <xf numFmtId="178" fontId="10" fillId="5" borderId="1" xfId="0" applyNumberFormat="1" applyFont="1" applyFill="1" applyBorder="1" applyAlignment="1">
      <alignment horizontal="center"/>
    </xf>
    <xf numFmtId="178" fontId="10" fillId="0" borderId="1" xfId="0" applyNumberFormat="1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119380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2A40337-BEA4-1682-91C6-6643BB03BF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637E16A-1CDE-75AE-1F18-803098F24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20</xdr:col>
      <xdr:colOff>61969</xdr:colOff>
      <xdr:row>55</xdr:row>
      <xdr:rowOff>38965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D0FEACC-7B45-D742-2957-A3B0F4C70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4150"/>
          <a:ext cx="11644369" cy="9983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zoomScaleNormal="100" workbookViewId="0">
      <selection activeCell="D25" sqref="D25"/>
    </sheetView>
  </sheetViews>
  <sheetFormatPr defaultColWidth="8.6640625" defaultRowHeight="14.4"/>
  <cols>
    <col min="1" max="1" width="3" customWidth="1"/>
    <col min="2" max="2" width="4" customWidth="1"/>
    <col min="3" max="3" width="30" customWidth="1"/>
    <col min="4" max="4" width="40" customWidth="1"/>
    <col min="5" max="5" width="22" customWidth="1"/>
    <col min="6" max="9" width="12" customWidth="1"/>
  </cols>
  <sheetData>
    <row r="2" spans="2:9" ht="17.399999999999999">
      <c r="B2" s="5" t="s">
        <v>0</v>
      </c>
    </row>
    <row r="3" spans="2:9">
      <c r="B3" s="6" t="s">
        <v>1</v>
      </c>
    </row>
    <row r="5" spans="2:9">
      <c r="B5" s="7" t="s">
        <v>2</v>
      </c>
    </row>
    <row r="6" spans="2:9" ht="54.75" customHeight="1">
      <c r="B6" s="4" t="s">
        <v>3</v>
      </c>
      <c r="C6" s="4"/>
      <c r="D6" s="4"/>
      <c r="E6" s="4"/>
      <c r="F6" s="4"/>
      <c r="G6" s="4"/>
      <c r="H6" s="4"/>
      <c r="I6" s="4"/>
    </row>
    <row r="8" spans="2:9">
      <c r="B8" s="7" t="s">
        <v>4</v>
      </c>
    </row>
    <row r="9" spans="2:9">
      <c r="B9" s="8" t="s">
        <v>5</v>
      </c>
      <c r="C9" s="9" t="s">
        <v>6</v>
      </c>
      <c r="D9" s="9" t="s">
        <v>7</v>
      </c>
      <c r="E9" s="9" t="s">
        <v>8</v>
      </c>
    </row>
    <row r="10" spans="2:9" ht="45" customHeight="1">
      <c r="B10" s="10">
        <v>1</v>
      </c>
      <c r="C10" s="11" t="s">
        <v>9</v>
      </c>
      <c r="D10" s="11" t="s">
        <v>10</v>
      </c>
      <c r="E10" s="12" t="s">
        <v>11</v>
      </c>
    </row>
    <row r="11" spans="2:9" ht="45" customHeight="1">
      <c r="B11" s="13">
        <v>2</v>
      </c>
      <c r="C11" s="14" t="s">
        <v>12</v>
      </c>
      <c r="D11" s="14" t="s">
        <v>13</v>
      </c>
      <c r="E11" s="15" t="s">
        <v>14</v>
      </c>
    </row>
    <row r="12" spans="2:9" ht="45" customHeight="1">
      <c r="B12" s="10">
        <v>3</v>
      </c>
      <c r="C12" s="12" t="s">
        <v>15</v>
      </c>
      <c r="D12" s="12" t="s">
        <v>16</v>
      </c>
      <c r="E12" s="12" t="s">
        <v>17</v>
      </c>
    </row>
    <row r="13" spans="2:9" ht="45" customHeight="1">
      <c r="B13" s="13">
        <v>4</v>
      </c>
      <c r="C13" s="14" t="s">
        <v>18</v>
      </c>
      <c r="D13" s="14" t="s">
        <v>19</v>
      </c>
      <c r="E13" s="15" t="s">
        <v>20</v>
      </c>
    </row>
    <row r="14" spans="2:9" ht="45" customHeight="1">
      <c r="B14" s="10">
        <v>5</v>
      </c>
      <c r="C14" s="12" t="s">
        <v>21</v>
      </c>
      <c r="D14" s="11" t="s">
        <v>22</v>
      </c>
      <c r="E14" s="12" t="s">
        <v>23</v>
      </c>
    </row>
    <row r="15" spans="2:9" ht="45" customHeight="1">
      <c r="B15" s="13">
        <v>6</v>
      </c>
      <c r="C15" s="14" t="s">
        <v>24</v>
      </c>
      <c r="D15" s="14" t="s">
        <v>25</v>
      </c>
      <c r="E15" s="15" t="s">
        <v>26</v>
      </c>
    </row>
    <row r="17" spans="2:9" ht="30" customHeight="1">
      <c r="B17" s="3" t="s">
        <v>27</v>
      </c>
      <c r="C17" s="3"/>
      <c r="D17" s="3"/>
      <c r="E17" s="3"/>
      <c r="F17" s="3"/>
      <c r="G17" s="3"/>
      <c r="H17" s="3"/>
      <c r="I17" s="3"/>
    </row>
  </sheetData>
  <mergeCells count="2">
    <mergeCell ref="B6:I6"/>
    <mergeCell ref="B17:I17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07CE-A8D4-4136-B92F-1E703C945069}">
  <dimension ref="A1"/>
  <sheetViews>
    <sheetView tabSelected="1" topLeftCell="A13" workbookViewId="0">
      <selection activeCell="W46" sqref="W46"/>
    </sheetView>
  </sheetViews>
  <sheetFormatPr defaultRowHeight="14.4"/>
  <sheetData/>
  <phoneticPr fontId="2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3"/>
  <sheetViews>
    <sheetView zoomScaleNormal="100" workbookViewId="0"/>
  </sheetViews>
  <sheetFormatPr defaultColWidth="8.6640625" defaultRowHeight="14.4"/>
  <cols>
    <col min="1" max="1" width="3" customWidth="1"/>
    <col min="2" max="2" width="34" customWidth="1"/>
    <col min="3" max="5" width="20" customWidth="1"/>
    <col min="6" max="6" width="24" customWidth="1"/>
  </cols>
  <sheetData>
    <row r="2" spans="2:6" ht="17.399999999999999">
      <c r="B2" s="2" t="s">
        <v>28</v>
      </c>
      <c r="C2" s="2"/>
      <c r="D2" s="2"/>
      <c r="E2" s="2"/>
      <c r="F2" s="2"/>
    </row>
    <row r="4" spans="2:6">
      <c r="B4" s="16" t="s">
        <v>29</v>
      </c>
    </row>
    <row r="5" spans="2:6">
      <c r="B5" s="17" t="s">
        <v>30</v>
      </c>
      <c r="C5" s="18">
        <v>4</v>
      </c>
      <c r="D5" s="19" t="s">
        <v>31</v>
      </c>
      <c r="E5" s="6" t="s">
        <v>32</v>
      </c>
    </row>
    <row r="6" spans="2:6">
      <c r="B6" s="20" t="s">
        <v>33</v>
      </c>
      <c r="C6" s="18">
        <v>0.6</v>
      </c>
      <c r="D6" s="19" t="s">
        <v>31</v>
      </c>
      <c r="E6" s="6" t="s">
        <v>34</v>
      </c>
    </row>
    <row r="7" spans="2:6">
      <c r="B7" s="17" t="s">
        <v>35</v>
      </c>
      <c r="C7" s="18">
        <v>470000</v>
      </c>
      <c r="D7" s="21" t="s">
        <v>36</v>
      </c>
      <c r="E7" s="6" t="s">
        <v>37</v>
      </c>
    </row>
    <row r="8" spans="2:6">
      <c r="B8" s="17" t="s">
        <v>38</v>
      </c>
      <c r="C8" s="18">
        <v>0.84499999999999997</v>
      </c>
      <c r="D8" s="19" t="s">
        <v>31</v>
      </c>
      <c r="E8" s="22" t="s">
        <v>39</v>
      </c>
    </row>
    <row r="10" spans="2:6">
      <c r="B10" s="16" t="s">
        <v>40</v>
      </c>
    </row>
    <row r="11" spans="2:6" ht="30" customHeight="1">
      <c r="B11" s="9" t="s">
        <v>41</v>
      </c>
      <c r="C11" s="8" t="s">
        <v>42</v>
      </c>
      <c r="D11" s="8" t="s">
        <v>43</v>
      </c>
      <c r="E11" s="8" t="s">
        <v>44</v>
      </c>
      <c r="F11" s="8" t="s">
        <v>45</v>
      </c>
    </row>
    <row r="12" spans="2:6">
      <c r="B12" s="23" t="s">
        <v>46</v>
      </c>
      <c r="C12" s="24">
        <v>4700</v>
      </c>
      <c r="D12" s="25">
        <v>47000</v>
      </c>
      <c r="E12" s="25">
        <v>100000</v>
      </c>
      <c r="F12" s="25">
        <v>470000</v>
      </c>
    </row>
    <row r="13" spans="2:6">
      <c r="B13" s="23" t="s">
        <v>47</v>
      </c>
      <c r="C13" s="26">
        <f>($C$5-$C$6)/C12*1000000</f>
        <v>723.40425531914889</v>
      </c>
      <c r="D13" s="27">
        <f>($C$5-$C$6)/D12*1000000</f>
        <v>72.340425531914903</v>
      </c>
      <c r="E13" s="27">
        <f>($C$5-$C$6)/E12*1000000</f>
        <v>34</v>
      </c>
      <c r="F13" s="27">
        <f>($C$5-$C$6)/F12*1000000</f>
        <v>7.2340425531914887</v>
      </c>
    </row>
    <row r="14" spans="2:6">
      <c r="B14" s="23" t="s">
        <v>48</v>
      </c>
      <c r="C14" s="28">
        <f>C13*24/1000</f>
        <v>17.361702127659573</v>
      </c>
      <c r="D14" s="29">
        <f>D13*24/1000</f>
        <v>1.7361702127659577</v>
      </c>
      <c r="E14" s="29">
        <f>E13*24/1000</f>
        <v>0.81599999999999995</v>
      </c>
      <c r="F14" s="29">
        <f>F13*24/1000</f>
        <v>0.17361702127659573</v>
      </c>
    </row>
    <row r="15" spans="2:6">
      <c r="B15" s="30" t="s">
        <v>49</v>
      </c>
      <c r="C15" s="28">
        <f>$C$8*(C12/$C$7)</f>
        <v>8.4499999999999992E-3</v>
      </c>
      <c r="D15" s="29">
        <f>$C$8*(D12/$C$7)</f>
        <v>8.4500000000000006E-2</v>
      </c>
      <c r="E15" s="29">
        <f>$C$8*(E12/$C$7)</f>
        <v>0.1797872340425532</v>
      </c>
      <c r="F15" s="29">
        <f>$C$8*(F12/$C$7)</f>
        <v>0.84499999999999997</v>
      </c>
    </row>
    <row r="16" spans="2:6">
      <c r="B16" s="23" t="s">
        <v>50</v>
      </c>
      <c r="C16" s="31">
        <f>C15/3.1*100</f>
        <v>0.27258064516129027</v>
      </c>
      <c r="D16" s="32">
        <f>D15/3.1*100</f>
        <v>2.7258064516129035</v>
      </c>
      <c r="E16" s="32">
        <f>E15/3.1*100</f>
        <v>5.7995881949210712</v>
      </c>
      <c r="F16" s="32">
        <f>F15/3.1*100</f>
        <v>27.258064516129032</v>
      </c>
    </row>
    <row r="18" spans="2:6">
      <c r="B18" s="16" t="s">
        <v>51</v>
      </c>
    </row>
    <row r="19" spans="2:6" ht="18" customHeight="1">
      <c r="B19" s="1" t="s">
        <v>52</v>
      </c>
      <c r="C19" s="1"/>
      <c r="D19" s="1"/>
      <c r="E19" s="1"/>
      <c r="F19" s="1"/>
    </row>
    <row r="20" spans="2:6" ht="18" customHeight="1">
      <c r="B20" s="1" t="s">
        <v>53</v>
      </c>
      <c r="C20" s="1"/>
      <c r="D20" s="1"/>
      <c r="E20" s="1"/>
      <c r="F20" s="1"/>
    </row>
    <row r="21" spans="2:6" ht="18" customHeight="1">
      <c r="B21" s="1" t="s">
        <v>54</v>
      </c>
      <c r="C21" s="1"/>
      <c r="D21" s="1"/>
      <c r="E21" s="1"/>
      <c r="F21" s="1"/>
    </row>
    <row r="22" spans="2:6" ht="18" customHeight="1">
      <c r="B22" s="1" t="s">
        <v>55</v>
      </c>
      <c r="C22" s="1"/>
      <c r="D22" s="1"/>
      <c r="E22" s="1"/>
      <c r="F22" s="1"/>
    </row>
    <row r="23" spans="2:6" ht="18" customHeight="1">
      <c r="B23" s="1" t="s">
        <v>56</v>
      </c>
      <c r="C23" s="1"/>
      <c r="D23" s="1"/>
      <c r="E23" s="1"/>
      <c r="F23" s="1"/>
    </row>
  </sheetData>
  <mergeCells count="6">
    <mergeCell ref="B23:F23"/>
    <mergeCell ref="B2:F2"/>
    <mergeCell ref="B19:F19"/>
    <mergeCell ref="B20:F20"/>
    <mergeCell ref="B21:F21"/>
    <mergeCell ref="B22:F22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회로</vt:lpstr>
      <vt:lpstr>R3 소비전력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창준 이</cp:lastModifiedBy>
  <cp:revision>0</cp:revision>
  <dcterms:created xsi:type="dcterms:W3CDTF">2026-09-03T06:27:02Z</dcterms:created>
  <dcterms:modified xsi:type="dcterms:W3CDTF">2026-09-03T06:44:15Z</dcterms:modified>
  <dc:language>en-US</dc:language>
</cp:coreProperties>
</file>